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Data_Project\ROS\"/>
    </mc:Choice>
  </mc:AlternateContent>
  <xr:revisionPtr revIDLastSave="0" documentId="8_{5E2AAD01-C0BB-4F27-B24E-232432F3A4A0}" xr6:coauthVersionLast="47" xr6:coauthVersionMax="47" xr10:uidLastSave="{00000000-0000-0000-0000-000000000000}"/>
  <bookViews>
    <workbookView xWindow="-120" yWindow="-120" windowWidth="19440" windowHeight="10320" tabRatio="500" xr2:uid="{00000000-000D-0000-FFFF-FFFF00000000}"/>
  </bookViews>
  <sheets>
    <sheet name="LOG_CAS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8" i="1" l="1"/>
  <c r="I8" i="1"/>
  <c r="N7" i="1"/>
  <c r="I7" i="1"/>
  <c r="N6" i="1"/>
  <c r="I6" i="1"/>
  <c r="I5" i="1"/>
  <c r="N4" i="1"/>
  <c r="I4" i="1"/>
</calcChain>
</file>

<file path=xl/sharedStrings.xml><?xml version="1.0" encoding="utf-8"?>
<sst xmlns="http://schemas.openxmlformats.org/spreadsheetml/2006/main" count="78" uniqueCount="54">
  <si>
    <t>LOG DE CASOS — FinPago S.A.S. (PSPCP ficticia)  ·  Res. UIF N° 200/2024 · 56/2024 · 207/2025 · 3/2026</t>
  </si>
  <si>
    <t>ID_CASO</t>
  </si>
  <si>
    <t>FECHA_ALERTA</t>
  </si>
  <si>
    <t>SISTEMA_ALERTA</t>
  </si>
  <si>
    <t>ID_SEÑAL_ACTIVADA</t>
  </si>
  <si>
    <t>ID_CLIENTE</t>
  </si>
  <si>
    <t>MONTO_INVOLUCRADO</t>
  </si>
  <si>
    <t>FECHA_RECEPCION_ANALISTA</t>
  </si>
  <si>
    <t>FECHA_CONCLUSION_ANALISIS</t>
  </si>
  <si>
    <t>DIAS_ANALISIS</t>
  </si>
  <si>
    <t>DECISION</t>
  </si>
  <si>
    <t>TIPO_REPORTE</t>
  </si>
  <si>
    <t>Nº_REPORTE_UIF</t>
  </si>
  <si>
    <t>FECHA_ENVIO_REPORTE</t>
  </si>
  <si>
    <t>PLAZO_CUMPLIDO</t>
  </si>
  <si>
    <t>ANALISTA_RESPONSABLE</t>
  </si>
  <si>
    <t>SUPERVISOR_REVISOR</t>
  </si>
  <si>
    <t>ESTADO_CASO</t>
  </si>
  <si>
    <t>OBSERVACIONES</t>
  </si>
  <si>
    <t>CASO-P3-001</t>
  </si>
  <si>
    <t>Monitoreo automático</t>
  </si>
  <si>
    <t>SAL-001; SAL-002</t>
  </si>
  <si>
    <t>CLI-P2-002 — Carlos Rodríguez</t>
  </si>
  <si>
    <t>Sospechosa</t>
  </si>
  <si>
    <t>ROS-LA</t>
  </si>
  <si>
    <t>ROS-LA-FP-2026-0001</t>
  </si>
  <si>
    <t>Lucía Morales</t>
  </si>
  <si>
    <t>Martín Aguirre</t>
  </si>
  <si>
    <t>Cerrado</t>
  </si>
  <si>
    <t>Fraccionamiento hacia 3 beneficiarios sin vínculo comercial. 12 transferencias en 8 días. ROS-LA enviado dentro de las 24 hs. Fecha primera operación: 06/01/2026.</t>
  </si>
  <si>
    <t>CASO-P3-002</t>
  </si>
  <si>
    <t>SAL-002</t>
  </si>
  <si>
    <t>CLI-P2-003 — Roberto Fernández</t>
  </si>
  <si>
    <t>Inusual</t>
  </si>
  <si>
    <t>N/A</t>
  </si>
  <si>
    <t>—</t>
  </si>
  <si>
    <t>PEP activo. Transferencia entrante de organismo público coincide con asignación mensual del cargo. Explicación razonable verificada en BO. Sin ROS. Monitoreo reforzado (DDUE) mantenido.</t>
  </si>
  <si>
    <t>CASO-P3-003</t>
  </si>
  <si>
    <t>SAL-024; SAL-021; SAL-003</t>
  </si>
  <si>
    <t>CLI-P2-001 — María González</t>
  </si>
  <si>
    <t>ROS-LA-FP-2026-0002</t>
  </si>
  <si>
    <t>Empleada bajo diferimiento. 5 conversiones fiat→cripto (18 SMVM) + transferencia a wallet externa no identificada. Supera umbral de diferimiento. Calificación formal completada en paralelo al ROS.</t>
  </si>
  <si>
    <t>CASO-P3-004</t>
  </si>
  <si>
    <t>SAL-018</t>
  </si>
  <si>
    <t>SOLICITANTE-004 — Alejandro M. Vera</t>
  </si>
  <si>
    <t>RFT</t>
  </si>
  <si>
    <t>RFT-FP-2026-0001</t>
  </si>
  <si>
    <t>Coincidencia 87% con designado SDGT en lista OFAC. Onboarding suspendido automáticamente. Congelamiento: sin activos existentes (onboarding no completado). RFT emitido dentro de las 24 hs desde la operación tentada. Res. 207/2025.</t>
  </si>
  <si>
    <t>CASO-P3-005</t>
  </si>
  <si>
    <t>SAL-005; SAL-016</t>
  </si>
  <si>
    <t>ROS-LA-FP-2026-0003</t>
  </si>
  <si>
    <t>2° alerta del mismo cliente (ver CASO-P3-001). 4 transferencias internacionales a jurisdicción GAFI Grey List. Sin documentación comercial de respaldo. Monitoreo suspendido hasta resolución UIF. Antecedente ROS-LA-FP-2026-0001 adjunto.</t>
  </si>
  <si>
    <t>LEYENDA — Columna DECISIÓN: Inusual = fondo amarillo · Sospechosa = fondo rojo · Descartada = fondo verde  ·  Columna PLAZO CUMPLIDO: Sí = verde · No = rojo  ·  Columna DIAS_ANALISIS: fórmula automática H−G  ·  Columna PLAZO_CUMPLIDO: fórmula ROS-LA = fecha envío − fecha operación ≤ 90 días / RFT·RFP = ≤ 1 día (Res. 56/2024 · Res. 207/2025 · Res. 3/2026)</t>
  </si>
  <si>
    <t xml:space="preserve"> Fines educativos / Portfolio AML-KYC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</si>
</sst>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 &quot;#,##0"/>
    <numFmt numFmtId="165" formatCode="0&quot; días&quot;"/>
  </numFmts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i/>
      <sz val="8"/>
      <color rgb="FF59595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F2F2F2"/>
      </patternFill>
    </fill>
    <fill>
      <patternFill patternType="solid">
        <fgColor rgb="FFF7FAFF"/>
        <bgColor rgb="FFFFFFFF"/>
      </patternFill>
    </fill>
    <fill>
      <patternFill patternType="solid">
        <fgColor rgb="FFFFFFFF"/>
        <bgColor rgb="FFF7FAFF"/>
      </patternFill>
    </fill>
    <fill>
      <patternFill patternType="solid">
        <fgColor rgb="FFF2F2F2"/>
        <bgColor rgb="FFF7FA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6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color rgb="FFFFFFFF"/>
      </font>
      <fill>
        <patternFill>
          <bgColor rgb="FFFF0000"/>
        </patternFill>
      </fill>
    </dxf>
    <dxf>
      <font>
        <b/>
      </font>
      <fill>
        <patternFill>
          <bgColor rgb="FF92D050"/>
        </patternFill>
      </fill>
    </dxf>
    <dxf>
      <font>
        <b/>
      </font>
      <fill>
        <patternFill>
          <bgColor rgb="FF92D050"/>
        </patternFill>
      </fill>
    </dxf>
    <dxf>
      <font>
        <b/>
        <color rgb="FFFFFFFF"/>
      </font>
      <fill>
        <patternFill>
          <bgColor rgb="FFFF7070"/>
        </patternFill>
      </fill>
    </dxf>
    <dxf>
      <font>
        <b/>
      </font>
      <fill>
        <patternFill>
          <bgColor rgb="FFFFD96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F7FAFF"/>
      <rgbColor rgb="FF660066"/>
      <rgbColor rgb="FFFF707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70" zoomScaleNormal="70" workbookViewId="0">
      <pane ySplit="3" topLeftCell="A4" activePane="bottomLeft" state="frozen"/>
      <selection pane="bottomLeft" activeCell="C4" sqref="C4"/>
    </sheetView>
  </sheetViews>
  <sheetFormatPr defaultColWidth="8.7109375" defaultRowHeight="15" x14ac:dyDescent="0.25"/>
  <cols>
    <col min="1" max="1" width="15" customWidth="1"/>
    <col min="2" max="2" width="16.85546875" customWidth="1"/>
    <col min="3" max="3" width="22" customWidth="1"/>
    <col min="4" max="4" width="28" customWidth="1"/>
    <col min="5" max="5" width="26" customWidth="1"/>
    <col min="6" max="6" width="22.85546875" customWidth="1"/>
    <col min="7" max="7" width="24" customWidth="1"/>
    <col min="8" max="8" width="26" customWidth="1"/>
    <col min="9" max="9" width="13" customWidth="1"/>
    <col min="10" max="10" width="14" customWidth="1"/>
    <col min="11" max="11" width="19.7109375" customWidth="1"/>
    <col min="12" max="12" width="22.28515625" customWidth="1"/>
    <col min="13" max="13" width="22" customWidth="1"/>
    <col min="14" max="14" width="20.85546875" customWidth="1"/>
    <col min="15" max="15" width="29.28515625" customWidth="1"/>
    <col min="16" max="16" width="26.28515625" customWidth="1"/>
    <col min="17" max="17" width="18.28515625" customWidth="1"/>
    <col min="18" max="18" width="48" customWidth="1"/>
  </cols>
  <sheetData>
    <row r="1" spans="1:18" ht="30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5" customHeight="1" x14ac:dyDescent="0.25">
      <c r="A2" s="2" t="s">
        <v>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</row>
    <row r="4" spans="1:18" ht="63.75" customHeight="1" x14ac:dyDescent="0.25">
      <c r="A4" s="5" t="s">
        <v>19</v>
      </c>
      <c r="B4" s="6">
        <v>46036</v>
      </c>
      <c r="C4" s="7" t="s">
        <v>20</v>
      </c>
      <c r="D4" s="7" t="s">
        <v>21</v>
      </c>
      <c r="E4" s="7" t="s">
        <v>22</v>
      </c>
      <c r="F4" s="8">
        <v>456000</v>
      </c>
      <c r="G4" s="6">
        <v>46036</v>
      </c>
      <c r="H4" s="6">
        <v>46036</v>
      </c>
      <c r="I4" s="9">
        <f>H4-G4</f>
        <v>0</v>
      </c>
      <c r="J4" s="5" t="s">
        <v>23</v>
      </c>
      <c r="K4" s="10" t="s">
        <v>24</v>
      </c>
      <c r="L4" s="10" t="s">
        <v>25</v>
      </c>
      <c r="M4" s="6">
        <v>46037</v>
      </c>
      <c r="N4" s="11" t="str">
        <f>IF(K4="N/A","N/A",IF(K4="ROS-LA",IF(M4-DATE(2026,1,6)&lt;=90,"Sí","No"),IF(OR(K4="RFT",K4="RFP"),IF(M4-DATE(2026,1,6)&lt;=1,"Sí","No"),"N/A")))</f>
        <v>Sí</v>
      </c>
      <c r="O4" s="10" t="s">
        <v>26</v>
      </c>
      <c r="P4" s="10" t="s">
        <v>27</v>
      </c>
      <c r="Q4" s="5" t="s">
        <v>28</v>
      </c>
      <c r="R4" s="7" t="s">
        <v>29</v>
      </c>
    </row>
    <row r="5" spans="1:18" ht="65.25" customHeight="1" x14ac:dyDescent="0.25">
      <c r="A5" s="12" t="s">
        <v>30</v>
      </c>
      <c r="B5" s="13">
        <v>46044</v>
      </c>
      <c r="C5" s="14" t="s">
        <v>20</v>
      </c>
      <c r="D5" s="14" t="s">
        <v>31</v>
      </c>
      <c r="E5" s="14" t="s">
        <v>32</v>
      </c>
      <c r="F5" s="15">
        <v>1200000</v>
      </c>
      <c r="G5" s="13">
        <v>46044</v>
      </c>
      <c r="H5" s="13">
        <v>46045</v>
      </c>
      <c r="I5" s="16">
        <f>H5-G5</f>
        <v>1</v>
      </c>
      <c r="J5" s="12" t="s">
        <v>33</v>
      </c>
      <c r="K5" s="17" t="s">
        <v>34</v>
      </c>
      <c r="L5" s="17" t="s">
        <v>35</v>
      </c>
      <c r="M5" s="17" t="s">
        <v>35</v>
      </c>
      <c r="N5" s="18" t="s">
        <v>34</v>
      </c>
      <c r="O5" s="17" t="s">
        <v>26</v>
      </c>
      <c r="P5" s="17" t="s">
        <v>27</v>
      </c>
      <c r="Q5" s="12" t="s">
        <v>28</v>
      </c>
      <c r="R5" s="14" t="s">
        <v>36</v>
      </c>
    </row>
    <row r="6" spans="1:18" ht="81" customHeight="1" x14ac:dyDescent="0.25">
      <c r="A6" s="5" t="s">
        <v>37</v>
      </c>
      <c r="B6" s="6">
        <v>46052</v>
      </c>
      <c r="C6" s="7" t="s">
        <v>20</v>
      </c>
      <c r="D6" s="7" t="s">
        <v>38</v>
      </c>
      <c r="E6" s="7" t="s">
        <v>39</v>
      </c>
      <c r="F6" s="8">
        <v>360000</v>
      </c>
      <c r="G6" s="6">
        <v>46052</v>
      </c>
      <c r="H6" s="6">
        <v>46052</v>
      </c>
      <c r="I6" s="9">
        <f>H6-G6</f>
        <v>0</v>
      </c>
      <c r="J6" s="5" t="s">
        <v>23</v>
      </c>
      <c r="K6" s="10" t="s">
        <v>24</v>
      </c>
      <c r="L6" s="10" t="s">
        <v>40</v>
      </c>
      <c r="M6" s="6">
        <v>46053</v>
      </c>
      <c r="N6" s="11" t="str">
        <f>IF(K6="N/A","N/A",IF(K6="ROS-LA",IF(M6-DATE(2026,1,28)&lt;=90,"Sí","No"),IF(OR(K6="RFT",K6="RFP"),IF(M6-DATE(2026,1,28)&lt;=1,"Sí","No"),"N/A")))</f>
        <v>Sí</v>
      </c>
      <c r="O6" s="10" t="s">
        <v>26</v>
      </c>
      <c r="P6" s="10" t="s">
        <v>27</v>
      </c>
      <c r="Q6" s="5" t="s">
        <v>28</v>
      </c>
      <c r="R6" s="7" t="s">
        <v>41</v>
      </c>
    </row>
    <row r="7" spans="1:18" ht="74.25" customHeight="1" x14ac:dyDescent="0.25">
      <c r="A7" s="12" t="s">
        <v>42</v>
      </c>
      <c r="B7" s="13">
        <v>46058</v>
      </c>
      <c r="C7" s="14" t="s">
        <v>20</v>
      </c>
      <c r="D7" s="14" t="s">
        <v>43</v>
      </c>
      <c r="E7" s="14" t="s">
        <v>44</v>
      </c>
      <c r="F7" s="15">
        <v>0</v>
      </c>
      <c r="G7" s="13">
        <v>46058</v>
      </c>
      <c r="H7" s="13">
        <v>46058</v>
      </c>
      <c r="I7" s="16">
        <f>H7-G7</f>
        <v>0</v>
      </c>
      <c r="J7" s="12" t="s">
        <v>23</v>
      </c>
      <c r="K7" s="17" t="s">
        <v>45</v>
      </c>
      <c r="L7" s="17" t="s">
        <v>46</v>
      </c>
      <c r="M7" s="13">
        <v>46058</v>
      </c>
      <c r="N7" s="18" t="str">
        <f>IF(K7="N/A","N/A",IF(K7="ROS-LA",IF(M7-DATE(2026,2,5)&lt;=90,"Sí","No"),IF(OR(K7="RFT",K7="RFP"),IF(M7-DATE(2026,2,5)&lt;=1,"Sí","No"),"N/A")))</f>
        <v>Sí</v>
      </c>
      <c r="O7" s="17" t="s">
        <v>26</v>
      </c>
      <c r="P7" s="17" t="s">
        <v>27</v>
      </c>
      <c r="Q7" s="12" t="s">
        <v>28</v>
      </c>
      <c r="R7" s="14" t="s">
        <v>47</v>
      </c>
    </row>
    <row r="8" spans="1:18" ht="66" customHeight="1" x14ac:dyDescent="0.25">
      <c r="A8" s="5" t="s">
        <v>48</v>
      </c>
      <c r="B8" s="6">
        <v>46071</v>
      </c>
      <c r="C8" s="7" t="s">
        <v>20</v>
      </c>
      <c r="D8" s="7" t="s">
        <v>49</v>
      </c>
      <c r="E8" s="7" t="s">
        <v>22</v>
      </c>
      <c r="F8" s="8">
        <v>700000</v>
      </c>
      <c r="G8" s="6">
        <v>46071</v>
      </c>
      <c r="H8" s="6">
        <v>46071</v>
      </c>
      <c r="I8" s="9">
        <f>H8-G8</f>
        <v>0</v>
      </c>
      <c r="J8" s="5" t="s">
        <v>23</v>
      </c>
      <c r="K8" s="10" t="s">
        <v>24</v>
      </c>
      <c r="L8" s="10" t="s">
        <v>50</v>
      </c>
      <c r="M8" s="6">
        <v>46072</v>
      </c>
      <c r="N8" s="11" t="str">
        <f>IF(K8="N/A","N/A",IF(K8="ROS-LA",IF(M8-DATE(2026,2,3)&lt;=90,"Sí","No"),IF(OR(K8="RFT",K8="RFP"),IF(M8-DATE(2026,2,3)&lt;=1,"Sí","No"),"N/A")))</f>
        <v>Sí</v>
      </c>
      <c r="O8" s="10" t="s">
        <v>26</v>
      </c>
      <c r="P8" s="10" t="s">
        <v>27</v>
      </c>
      <c r="Q8" s="5" t="s">
        <v>28</v>
      </c>
      <c r="R8" s="7" t="s">
        <v>51</v>
      </c>
    </row>
    <row r="9" spans="1:18" ht="6" customHeight="1" x14ac:dyDescent="0.25"/>
    <row r="10" spans="1:18" ht="30" customHeight="1" x14ac:dyDescent="0.25">
      <c r="A10" s="1" t="s">
        <v>52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</sheetData>
  <mergeCells count="3">
    <mergeCell ref="A1:R1"/>
    <mergeCell ref="A2:R2"/>
    <mergeCell ref="A10:R10"/>
  </mergeCells>
  <conditionalFormatting sqref="J4:J8">
    <cfRule type="cellIs" dxfId="4" priority="2" operator="equal">
      <formula>"Inusual"</formula>
    </cfRule>
    <cfRule type="cellIs" dxfId="3" priority="3" operator="equal">
      <formula>"Sospechosa"</formula>
    </cfRule>
    <cfRule type="cellIs" dxfId="2" priority="4" operator="equal">
      <formula>"Descartada"</formula>
    </cfRule>
  </conditionalFormatting>
  <conditionalFormatting sqref="N4:N8">
    <cfRule type="cellIs" dxfId="1" priority="5" operator="equal">
      <formula>"Sí"</formula>
    </cfRule>
    <cfRule type="cellIs" dxfId="0" priority="6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LOG_CASOS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2026-03-13T07:39:21Z</dcterms:created>
  <dcterms:modified xsi:type="dcterms:W3CDTF">2026-03-13T14:17:21Z</dcterms:modified>
  <dc:language>en-US</dc:language>
</cp:coreProperties>
</file>